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luno\Desktop\David 19.09\"/>
    </mc:Choice>
  </mc:AlternateContent>
  <bookViews>
    <workbookView xWindow="0" yWindow="0" windowWidth="24000" windowHeight="9510" activeTab="4"/>
  </bookViews>
  <sheets>
    <sheet name="caixa" sheetId="1" r:id="rId1"/>
    <sheet name="registro do caixa " sheetId="3" r:id="rId2"/>
    <sheet name="banco de dados " sheetId="2" r:id="rId3"/>
    <sheet name="pagamento" sheetId="4" r:id="rId4"/>
    <sheet name="Planilha2" sheetId="5" r:id="rId5"/>
  </sheets>
  <externalReferences>
    <externalReference r:id="rId6"/>
  </externalReferences>
  <definedNames>
    <definedName name="adega">'banco de dados '!$A:$C</definedName>
    <definedName name="banco">'[1]Banco de Dados'!$A:$C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5" l="1"/>
  <c r="C24" i="3" l="1"/>
  <c r="C23" i="3"/>
  <c r="C9" i="3" l="1"/>
  <c r="E9" i="3" s="1"/>
  <c r="B9" i="3"/>
  <c r="E8" i="3"/>
  <c r="C8" i="3"/>
  <c r="B8" i="3"/>
  <c r="C7" i="3"/>
  <c r="E7" i="3" s="1"/>
  <c r="B7" i="3"/>
  <c r="E6" i="3"/>
  <c r="C6" i="3"/>
  <c r="B6" i="3"/>
  <c r="C5" i="3"/>
  <c r="E5" i="3" s="1"/>
  <c r="B5" i="3"/>
  <c r="E4" i="3"/>
  <c r="C4" i="3"/>
  <c r="B4" i="3"/>
  <c r="C3" i="3"/>
  <c r="E3" i="3" s="1"/>
  <c r="B3" i="3"/>
  <c r="E2" i="3"/>
  <c r="C2" i="3"/>
  <c r="B2" i="3"/>
</calcChain>
</file>

<file path=xl/sharedStrings.xml><?xml version="1.0" encoding="utf-8"?>
<sst xmlns="http://schemas.openxmlformats.org/spreadsheetml/2006/main" count="51" uniqueCount="38">
  <si>
    <t>codigo</t>
  </si>
  <si>
    <t>produto</t>
  </si>
  <si>
    <t>preço</t>
  </si>
  <si>
    <t>Qtd</t>
  </si>
  <si>
    <t>Total</t>
  </si>
  <si>
    <t>fanta</t>
  </si>
  <si>
    <t>coca</t>
  </si>
  <si>
    <t>gatoreide</t>
  </si>
  <si>
    <t>gelo</t>
  </si>
  <si>
    <t>conhaque</t>
  </si>
  <si>
    <t>gin</t>
  </si>
  <si>
    <t xml:space="preserve">marca </t>
  </si>
  <si>
    <t>unidade</t>
  </si>
  <si>
    <t>Rauch</t>
  </si>
  <si>
    <t>pepscico</t>
  </si>
  <si>
    <t xml:space="preserve"> red label</t>
  </si>
  <si>
    <t>walker</t>
  </si>
  <si>
    <t>domus</t>
  </si>
  <si>
    <t>branco</t>
  </si>
  <si>
    <t>medida</t>
  </si>
  <si>
    <t xml:space="preserve"> redboll</t>
  </si>
  <si>
    <t>Caixa disponivel</t>
  </si>
  <si>
    <t xml:space="preserve"> Total</t>
  </si>
  <si>
    <t>Quantidade</t>
  </si>
  <si>
    <t>Descrição do produto</t>
  </si>
  <si>
    <t>Valor do produto</t>
  </si>
  <si>
    <t>programa if (se)</t>
  </si>
  <si>
    <t>total</t>
  </si>
  <si>
    <t>forma pgto</t>
  </si>
  <si>
    <t xml:space="preserve"> </t>
  </si>
  <si>
    <t>M.C.DVL</t>
  </si>
  <si>
    <t>$CAIXA</t>
  </si>
  <si>
    <t>VENDA</t>
  </si>
  <si>
    <t>operaçoes</t>
  </si>
  <si>
    <t>CLIENTES</t>
  </si>
  <si>
    <t>COMANDA</t>
  </si>
  <si>
    <t>PRODUTOS</t>
  </si>
  <si>
    <t>PATROCINIO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</si>
</sst>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R$-416]\ * #,##0.00_-;\-[$R$-416]\ * #,##0.00_-;_-[$R$-416]\ * &quot;-&quot;??_-;_-@_-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48"/>
      <name val="Baskerville Old Face"/>
      <family val="1"/>
    </font>
    <font>
      <sz val="26"/>
      <name val="Calibri"/>
      <family val="2"/>
      <scheme val="minor"/>
    </font>
    <font>
      <sz val="4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164" fontId="0" fillId="0" borderId="0" xfId="0" applyNumberFormat="1"/>
    <xf numFmtId="0" fontId="0" fillId="0" borderId="0" xfId="1" applyFont="1"/>
    <xf numFmtId="0" fontId="0" fillId="2" borderId="0" xfId="0" applyFill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22" fontId="6" fillId="4" borderId="0" xfId="0" applyNumberFormat="1" applyFont="1" applyFill="1" applyAlignment="1">
      <alignment horizontal="center"/>
    </xf>
    <xf numFmtId="0" fontId="4" fillId="7" borderId="0" xfId="0" applyFont="1" applyFill="1"/>
    <xf numFmtId="0" fontId="7" fillId="6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gament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23</xdr:row>
      <xdr:rowOff>57150</xdr:rowOff>
    </xdr:from>
    <xdr:to>
      <xdr:col>4</xdr:col>
      <xdr:colOff>628650</xdr:colOff>
      <xdr:row>24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2295525" y="4438650"/>
          <a:ext cx="1104900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pagamento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</xdr:row>
      <xdr:rowOff>28575</xdr:rowOff>
    </xdr:from>
    <xdr:to>
      <xdr:col>8</xdr:col>
      <xdr:colOff>495299</xdr:colOff>
      <xdr:row>3</xdr:row>
      <xdr:rowOff>0</xdr:rowOff>
    </xdr:to>
    <xdr:sp macro="[0]!pagamento" textlink="">
      <xdr:nvSpPr>
        <xdr:cNvPr id="3" name="Retângulo 2"/>
        <xdr:cNvSpPr/>
      </xdr:nvSpPr>
      <xdr:spPr>
        <a:xfrm>
          <a:off x="4295774" y="219075"/>
          <a:ext cx="10763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Pagamento</a:t>
          </a:r>
        </a:p>
      </xdr:txBody>
    </xdr:sp>
    <xdr:clientData/>
  </xdr:twoCellAnchor>
  <xdr:twoCellAnchor>
    <xdr:from>
      <xdr:col>7</xdr:col>
      <xdr:colOff>38100</xdr:colOff>
      <xdr:row>4</xdr:row>
      <xdr:rowOff>9525</xdr:rowOff>
    </xdr:from>
    <xdr:to>
      <xdr:col>9</xdr:col>
      <xdr:colOff>19050</xdr:colOff>
      <xdr:row>6</xdr:row>
      <xdr:rowOff>38100</xdr:rowOff>
    </xdr:to>
    <xdr:sp macro="[0]!pix" textlink="">
      <xdr:nvSpPr>
        <xdr:cNvPr id="4" name="Retângulo Arredondado 3"/>
        <xdr:cNvSpPr/>
      </xdr:nvSpPr>
      <xdr:spPr>
        <a:xfrm>
          <a:off x="4305300" y="771525"/>
          <a:ext cx="12001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Pix</a:t>
          </a:r>
        </a:p>
      </xdr:txBody>
    </xdr:sp>
    <xdr:clientData/>
  </xdr:twoCellAnchor>
  <xdr:twoCellAnchor>
    <xdr:from>
      <xdr:col>7</xdr:col>
      <xdr:colOff>9525</xdr:colOff>
      <xdr:row>6</xdr:row>
      <xdr:rowOff>180975</xdr:rowOff>
    </xdr:from>
    <xdr:to>
      <xdr:col>8</xdr:col>
      <xdr:colOff>600075</xdr:colOff>
      <xdr:row>9</xdr:row>
      <xdr:rowOff>19050</xdr:rowOff>
    </xdr:to>
    <xdr:sp macro="[0]!debito" textlink="">
      <xdr:nvSpPr>
        <xdr:cNvPr id="6" name="Retângulo Arredondado 5"/>
        <xdr:cNvSpPr/>
      </xdr:nvSpPr>
      <xdr:spPr>
        <a:xfrm>
          <a:off x="4276725" y="1323975"/>
          <a:ext cx="12001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Debito</a:t>
          </a:r>
        </a:p>
      </xdr:txBody>
    </xdr:sp>
    <xdr:clientData/>
  </xdr:twoCellAnchor>
  <xdr:twoCellAnchor>
    <xdr:from>
      <xdr:col>7</xdr:col>
      <xdr:colOff>9525</xdr:colOff>
      <xdr:row>10</xdr:row>
      <xdr:rowOff>9525</xdr:rowOff>
    </xdr:from>
    <xdr:to>
      <xdr:col>8</xdr:col>
      <xdr:colOff>600075</xdr:colOff>
      <xdr:row>12</xdr:row>
      <xdr:rowOff>38100</xdr:rowOff>
    </xdr:to>
    <xdr:sp macro="[0]!cartao" textlink="">
      <xdr:nvSpPr>
        <xdr:cNvPr id="7" name="Retângulo Arredondado 6"/>
        <xdr:cNvSpPr/>
      </xdr:nvSpPr>
      <xdr:spPr>
        <a:xfrm>
          <a:off x="4276725" y="1914525"/>
          <a:ext cx="12001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Credito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</xdr:row>
      <xdr:rowOff>66675</xdr:rowOff>
    </xdr:from>
    <xdr:to>
      <xdr:col>1</xdr:col>
      <xdr:colOff>514350</xdr:colOff>
      <xdr:row>3</xdr:row>
      <xdr:rowOff>9525</xdr:rowOff>
    </xdr:to>
    <xdr:sp macro="[0]!login" textlink="">
      <xdr:nvSpPr>
        <xdr:cNvPr id="2" name="Retângulo 1"/>
        <xdr:cNvSpPr/>
      </xdr:nvSpPr>
      <xdr:spPr>
        <a:xfrm>
          <a:off x="514350" y="257175"/>
          <a:ext cx="6096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Login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sta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co de Dados"/>
      <sheetName val="Caixa"/>
    </sheetNames>
    <sheetDataSet>
      <sheetData sheetId="0">
        <row r="1">
          <cell r="A1" t="str">
            <v>codigo</v>
          </cell>
          <cell r="B1" t="str">
            <v>produto</v>
          </cell>
          <cell r="C1" t="str">
            <v>preço</v>
          </cell>
        </row>
        <row r="2">
          <cell r="A2">
            <v>1</v>
          </cell>
          <cell r="B2" t="str">
            <v>sapato</v>
          </cell>
          <cell r="C2">
            <v>50</v>
          </cell>
        </row>
        <row r="3">
          <cell r="A3">
            <v>2</v>
          </cell>
          <cell r="B3" t="str">
            <v>vestido</v>
          </cell>
          <cell r="C3">
            <v>30</v>
          </cell>
        </row>
        <row r="4">
          <cell r="A4">
            <v>3</v>
          </cell>
          <cell r="B4" t="str">
            <v>camisa</v>
          </cell>
          <cell r="C4">
            <v>25</v>
          </cell>
        </row>
        <row r="5">
          <cell r="A5">
            <v>4</v>
          </cell>
          <cell r="B5" t="str">
            <v>óculos</v>
          </cell>
          <cell r="C5">
            <v>60</v>
          </cell>
        </row>
        <row r="6">
          <cell r="A6">
            <v>5</v>
          </cell>
          <cell r="B6" t="str">
            <v>Café</v>
          </cell>
          <cell r="C6">
            <v>15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C2:R19"/>
  <sheetViews>
    <sheetView workbookViewId="0">
      <selection activeCell="T24" sqref="T24"/>
    </sheetView>
  </sheetViews>
  <sheetFormatPr defaultRowHeight="15" x14ac:dyDescent="0.25"/>
  <cols>
    <col min="2" max="2" width="12" bestFit="1" customWidth="1"/>
    <col min="3" max="3" width="11.28515625" bestFit="1" customWidth="1"/>
    <col min="4" max="4" width="4.28515625" bestFit="1" customWidth="1"/>
    <col min="5" max="5" width="10.5703125" bestFit="1" customWidth="1"/>
  </cols>
  <sheetData>
    <row r="2" spans="3:18" ht="15" customHeight="1" x14ac:dyDescent="0.25">
      <c r="C2" s="1"/>
      <c r="E2" s="1"/>
      <c r="G2" s="3"/>
      <c r="H2" s="3"/>
      <c r="I2" s="4" t="s">
        <v>21</v>
      </c>
      <c r="J2" s="5"/>
      <c r="K2" s="5"/>
      <c r="L2" s="5"/>
      <c r="M2" s="5"/>
      <c r="N2" s="5"/>
      <c r="O2" s="5"/>
      <c r="P2" s="5"/>
      <c r="Q2" s="5"/>
      <c r="R2" s="3"/>
    </row>
    <row r="3" spans="3:18" x14ac:dyDescent="0.25">
      <c r="C3" s="1"/>
      <c r="E3" s="1"/>
      <c r="G3" s="3"/>
      <c r="H3" s="3"/>
      <c r="I3" s="5"/>
      <c r="J3" s="5"/>
      <c r="K3" s="5"/>
      <c r="L3" s="5"/>
      <c r="M3" s="5"/>
      <c r="N3" s="5"/>
      <c r="O3" s="5"/>
      <c r="P3" s="5"/>
      <c r="Q3" s="5"/>
      <c r="R3" s="3"/>
    </row>
    <row r="4" spans="3:18" x14ac:dyDescent="0.25">
      <c r="C4" s="1"/>
      <c r="E4" s="1"/>
      <c r="G4" s="3"/>
      <c r="H4" s="3"/>
      <c r="I4" s="5"/>
      <c r="J4" s="5"/>
      <c r="K4" s="5"/>
      <c r="L4" s="5"/>
      <c r="M4" s="5"/>
      <c r="N4" s="5"/>
      <c r="O4" s="5"/>
      <c r="P4" s="5"/>
      <c r="Q4" s="5"/>
      <c r="R4" s="3"/>
    </row>
    <row r="5" spans="3:18" x14ac:dyDescent="0.25">
      <c r="C5" s="1"/>
      <c r="E5" s="1"/>
      <c r="G5" s="3"/>
      <c r="H5" s="3"/>
      <c r="I5" s="3"/>
      <c r="J5" s="3"/>
      <c r="K5" s="3"/>
      <c r="L5" s="3"/>
      <c r="M5" s="3"/>
      <c r="N5" s="3" t="s">
        <v>25</v>
      </c>
      <c r="O5" s="3"/>
      <c r="P5" s="3"/>
      <c r="Q5" s="3"/>
      <c r="R5" s="3"/>
    </row>
    <row r="6" spans="3:18" x14ac:dyDescent="0.25">
      <c r="C6" s="1"/>
      <c r="E6" s="1"/>
      <c r="G6" s="3"/>
      <c r="H6" s="6"/>
      <c r="I6" s="6"/>
      <c r="J6" s="6"/>
      <c r="K6" s="6"/>
      <c r="L6" s="6"/>
      <c r="M6" s="3"/>
      <c r="N6" s="7"/>
      <c r="O6" s="7"/>
      <c r="P6" s="7"/>
      <c r="Q6" s="3"/>
      <c r="R6" s="3"/>
    </row>
    <row r="7" spans="3:18" x14ac:dyDescent="0.25">
      <c r="C7" s="1"/>
      <c r="E7" s="1"/>
      <c r="G7" s="3"/>
      <c r="H7" s="6"/>
      <c r="I7" s="6"/>
      <c r="J7" s="6"/>
      <c r="K7" s="6"/>
      <c r="L7" s="6"/>
      <c r="M7" s="3"/>
      <c r="N7" s="7"/>
      <c r="O7" s="7"/>
      <c r="P7" s="7"/>
      <c r="Q7" s="3"/>
      <c r="R7" s="3"/>
    </row>
    <row r="8" spans="3:18" x14ac:dyDescent="0.25">
      <c r="C8" s="1"/>
      <c r="E8" s="1"/>
      <c r="G8" s="3"/>
      <c r="H8" s="6"/>
      <c r="I8" s="6"/>
      <c r="J8" s="6"/>
      <c r="K8" s="6"/>
      <c r="L8" s="6"/>
      <c r="M8" s="3"/>
      <c r="N8" s="3"/>
      <c r="O8" s="3"/>
      <c r="P8" s="3"/>
      <c r="Q8" s="3"/>
      <c r="R8" s="3"/>
    </row>
    <row r="9" spans="3:18" x14ac:dyDescent="0.25">
      <c r="C9" s="1"/>
      <c r="E9" s="1"/>
      <c r="G9" s="3"/>
      <c r="H9" s="6"/>
      <c r="I9" s="6"/>
      <c r="J9" s="6"/>
      <c r="K9" s="6"/>
      <c r="L9" s="6"/>
      <c r="M9" s="3"/>
      <c r="N9" s="3" t="s">
        <v>24</v>
      </c>
      <c r="O9" s="3"/>
      <c r="P9" s="3"/>
      <c r="Q9" s="3"/>
      <c r="R9" s="3"/>
    </row>
    <row r="10" spans="3:18" x14ac:dyDescent="0.25">
      <c r="G10" s="3"/>
      <c r="H10" s="6"/>
      <c r="I10" s="6"/>
      <c r="J10" s="6"/>
      <c r="K10" s="6"/>
      <c r="L10" s="6"/>
      <c r="M10" s="3"/>
      <c r="N10" s="7"/>
      <c r="O10" s="7"/>
      <c r="P10" s="7"/>
      <c r="Q10" s="7"/>
      <c r="R10" s="7"/>
    </row>
    <row r="11" spans="3:18" x14ac:dyDescent="0.25">
      <c r="G11" s="3"/>
      <c r="H11" s="6"/>
      <c r="I11" s="6"/>
      <c r="J11" s="6"/>
      <c r="K11" s="6"/>
      <c r="L11" s="6"/>
      <c r="M11" s="3"/>
      <c r="N11" s="7"/>
      <c r="O11" s="7"/>
      <c r="P11" s="7"/>
      <c r="Q11" s="7"/>
      <c r="R11" s="7"/>
    </row>
    <row r="12" spans="3:18" x14ac:dyDescent="0.25">
      <c r="G12" s="3"/>
      <c r="H12" s="6"/>
      <c r="I12" s="6"/>
      <c r="J12" s="6"/>
      <c r="K12" s="6"/>
      <c r="L12" s="6"/>
      <c r="M12" s="3"/>
      <c r="N12" s="3"/>
      <c r="O12" s="3"/>
      <c r="P12" s="3"/>
      <c r="Q12" s="3"/>
      <c r="R12" s="3"/>
    </row>
    <row r="13" spans="3:18" x14ac:dyDescent="0.25">
      <c r="G13" s="3"/>
      <c r="H13" s="6"/>
      <c r="I13" s="6"/>
      <c r="J13" s="6"/>
      <c r="K13" s="6"/>
      <c r="L13" s="6"/>
      <c r="M13" s="3"/>
      <c r="N13" s="3" t="s">
        <v>23</v>
      </c>
      <c r="O13" s="3"/>
      <c r="P13" s="3"/>
      <c r="Q13" s="3"/>
      <c r="R13" s="3"/>
    </row>
    <row r="14" spans="3:18" x14ac:dyDescent="0.25">
      <c r="G14" s="3"/>
      <c r="H14" s="6"/>
      <c r="I14" s="6"/>
      <c r="J14" s="6"/>
      <c r="K14" s="6"/>
      <c r="L14" s="6"/>
      <c r="M14" s="3"/>
      <c r="N14" s="7"/>
      <c r="O14" s="7"/>
      <c r="P14" s="7"/>
      <c r="Q14" s="3"/>
      <c r="R14" s="3"/>
    </row>
    <row r="15" spans="3:18" x14ac:dyDescent="0.25">
      <c r="G15" s="3"/>
      <c r="H15" s="6"/>
      <c r="I15" s="6"/>
      <c r="J15" s="6"/>
      <c r="K15" s="6"/>
      <c r="L15" s="6"/>
      <c r="M15" s="3"/>
      <c r="N15" s="7"/>
      <c r="O15" s="7"/>
      <c r="P15" s="7"/>
      <c r="Q15" s="3"/>
      <c r="R15" s="3"/>
    </row>
    <row r="16" spans="3:18" x14ac:dyDescent="0.25">
      <c r="G16" s="3"/>
      <c r="H16" s="6"/>
      <c r="I16" s="6"/>
      <c r="J16" s="6"/>
      <c r="K16" s="6"/>
      <c r="L16" s="6"/>
      <c r="M16" s="3"/>
      <c r="N16" s="3"/>
      <c r="O16" s="3"/>
      <c r="P16" s="3"/>
      <c r="Q16" s="3"/>
      <c r="R16" s="3"/>
    </row>
    <row r="17" spans="7:18" x14ac:dyDescent="0.25">
      <c r="G17" s="3"/>
      <c r="H17" s="6"/>
      <c r="I17" s="6"/>
      <c r="J17" s="6"/>
      <c r="K17" s="6"/>
      <c r="L17" s="6"/>
      <c r="M17" s="3"/>
      <c r="N17" s="3" t="s">
        <v>22</v>
      </c>
      <c r="O17" s="3"/>
      <c r="P17" s="3"/>
      <c r="Q17" s="3"/>
      <c r="R17" s="3"/>
    </row>
    <row r="18" spans="7:18" x14ac:dyDescent="0.25">
      <c r="G18" s="3"/>
      <c r="H18" s="6"/>
      <c r="I18" s="6"/>
      <c r="J18" s="6"/>
      <c r="K18" s="6"/>
      <c r="L18" s="6"/>
      <c r="M18" s="3"/>
      <c r="N18" s="7"/>
      <c r="O18" s="7"/>
      <c r="P18" s="7"/>
      <c r="Q18" s="3"/>
      <c r="R18" s="3"/>
    </row>
    <row r="19" spans="7:18" x14ac:dyDescent="0.25">
      <c r="G19" s="3"/>
      <c r="H19" s="6"/>
      <c r="I19" s="6"/>
      <c r="J19" s="6"/>
      <c r="K19" s="6"/>
      <c r="L19" s="6"/>
      <c r="M19" s="3"/>
      <c r="N19" s="7"/>
      <c r="O19" s="7"/>
      <c r="P19" s="7"/>
      <c r="Q19" s="3"/>
      <c r="R19" s="3"/>
    </row>
  </sheetData>
  <mergeCells count="6">
    <mergeCell ref="I2:Q4"/>
    <mergeCell ref="H6:L19"/>
    <mergeCell ref="N6:P7"/>
    <mergeCell ref="N10:R11"/>
    <mergeCell ref="N14:P15"/>
    <mergeCell ref="N18:P19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E24"/>
  <sheetViews>
    <sheetView workbookViewId="0">
      <selection activeCell="I26" sqref="I26"/>
    </sheetView>
  </sheetViews>
  <sheetFormatPr defaultRowHeight="15" x14ac:dyDescent="0.25"/>
  <cols>
    <col min="2" max="2" width="12" bestFit="1" customWidth="1"/>
    <col min="3" max="3" width="11.28515625" bestFit="1" customWidth="1"/>
    <col min="5" max="5" width="10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10</v>
      </c>
      <c r="B2" t="str">
        <f t="shared" ref="B2:B9" si="0">IFERROR(VLOOKUP(A2,adega,2,0),"Produto N/C")</f>
        <v xml:space="preserve"> redboll</v>
      </c>
      <c r="C2" s="1">
        <f t="shared" ref="C2:C9" si="1">IFERROR(VLOOKUP(A2,adega,3,0),"Preço N/C")</f>
        <v>10</v>
      </c>
      <c r="D2">
        <v>50</v>
      </c>
      <c r="E2" s="1">
        <f>C2*D2</f>
        <v>500</v>
      </c>
    </row>
    <row r="3" spans="1:5" x14ac:dyDescent="0.25">
      <c r="A3">
        <v>11</v>
      </c>
      <c r="B3" t="str">
        <f t="shared" si="0"/>
        <v>fanta</v>
      </c>
      <c r="C3" s="1">
        <f t="shared" si="1"/>
        <v>10</v>
      </c>
      <c r="D3">
        <v>45</v>
      </c>
      <c r="E3" s="1">
        <f t="shared" ref="E3:E9" si="2">C3*D3</f>
        <v>450</v>
      </c>
    </row>
    <row r="4" spans="1:5" x14ac:dyDescent="0.25">
      <c r="A4">
        <v>12</v>
      </c>
      <c r="B4" t="str">
        <f t="shared" si="0"/>
        <v>coca</v>
      </c>
      <c r="C4" s="1">
        <f t="shared" si="1"/>
        <v>11</v>
      </c>
      <c r="D4">
        <v>35</v>
      </c>
      <c r="E4" s="1">
        <f t="shared" si="2"/>
        <v>385</v>
      </c>
    </row>
    <row r="5" spans="1:5" x14ac:dyDescent="0.25">
      <c r="A5">
        <v>13</v>
      </c>
      <c r="B5" t="str">
        <f t="shared" si="0"/>
        <v>gatoreide</v>
      </c>
      <c r="C5" s="1">
        <f t="shared" si="1"/>
        <v>6</v>
      </c>
      <c r="D5">
        <v>88</v>
      </c>
      <c r="E5" s="1">
        <f t="shared" si="2"/>
        <v>528</v>
      </c>
    </row>
    <row r="6" spans="1:5" x14ac:dyDescent="0.25">
      <c r="A6">
        <v>14</v>
      </c>
      <c r="B6" t="str">
        <f t="shared" si="0"/>
        <v xml:space="preserve"> red label</v>
      </c>
      <c r="C6" s="1">
        <f t="shared" si="1"/>
        <v>50</v>
      </c>
      <c r="D6">
        <v>10</v>
      </c>
      <c r="E6" s="1">
        <f t="shared" si="2"/>
        <v>500</v>
      </c>
    </row>
    <row r="7" spans="1:5" x14ac:dyDescent="0.25">
      <c r="A7">
        <v>15</v>
      </c>
      <c r="B7" t="str">
        <f t="shared" si="0"/>
        <v>gelo</v>
      </c>
      <c r="C7" s="1">
        <f t="shared" si="1"/>
        <v>5</v>
      </c>
      <c r="D7">
        <v>11</v>
      </c>
      <c r="E7" s="1">
        <f t="shared" si="2"/>
        <v>55</v>
      </c>
    </row>
    <row r="8" spans="1:5" x14ac:dyDescent="0.25">
      <c r="A8">
        <v>16</v>
      </c>
      <c r="B8" t="str">
        <f t="shared" si="0"/>
        <v>conhaque</v>
      </c>
      <c r="C8" s="1">
        <f t="shared" si="1"/>
        <v>12</v>
      </c>
      <c r="D8">
        <v>15</v>
      </c>
      <c r="E8" s="1">
        <f t="shared" si="2"/>
        <v>180</v>
      </c>
    </row>
    <row r="9" spans="1:5" x14ac:dyDescent="0.25">
      <c r="A9">
        <v>17</v>
      </c>
      <c r="B9" t="str">
        <f t="shared" si="0"/>
        <v>gin</v>
      </c>
      <c r="C9" s="1">
        <f t="shared" si="1"/>
        <v>30</v>
      </c>
      <c r="D9">
        <v>20</v>
      </c>
      <c r="E9" s="1">
        <f t="shared" si="2"/>
        <v>600</v>
      </c>
    </row>
    <row r="21" spans="2:4" x14ac:dyDescent="0.25">
      <c r="B21" t="s">
        <v>26</v>
      </c>
    </row>
    <row r="22" spans="2:4" x14ac:dyDescent="0.25">
      <c r="B22" t="s">
        <v>27</v>
      </c>
      <c r="C22" t="s">
        <v>28</v>
      </c>
      <c r="D22" t="s">
        <v>29</v>
      </c>
    </row>
    <row r="23" spans="2:4" x14ac:dyDescent="0.25">
      <c r="B23">
        <v>1</v>
      </c>
      <c r="C23" t="str">
        <f>IF(B23&lt;=99,"cartão","dinheiro")</f>
        <v>cartão</v>
      </c>
    </row>
    <row r="24" spans="2:4" x14ac:dyDescent="0.25">
      <c r="C24" t="str">
        <f>IF(B23="","",IF(B23&lt;=99,"cartão",IF(B23&gt;=100,"dinheiro")))</f>
        <v>cartão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9"/>
  <sheetViews>
    <sheetView workbookViewId="0">
      <selection activeCell="E12" sqref="E12"/>
    </sheetView>
  </sheetViews>
  <sheetFormatPr defaultRowHeight="15" x14ac:dyDescent="0.25"/>
  <cols>
    <col min="2" max="2" width="9.71093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11</v>
      </c>
      <c r="E1" t="s">
        <v>19</v>
      </c>
    </row>
    <row r="2" spans="1:5" x14ac:dyDescent="0.25">
      <c r="A2">
        <v>10</v>
      </c>
      <c r="B2" t="s">
        <v>20</v>
      </c>
      <c r="C2">
        <v>10</v>
      </c>
      <c r="D2" s="2" t="s">
        <v>13</v>
      </c>
      <c r="E2" t="s">
        <v>12</v>
      </c>
    </row>
    <row r="3" spans="1:5" x14ac:dyDescent="0.25">
      <c r="A3">
        <v>11</v>
      </c>
      <c r="B3" t="s">
        <v>5</v>
      </c>
      <c r="C3">
        <v>10</v>
      </c>
      <c r="D3" t="s">
        <v>6</v>
      </c>
      <c r="E3" t="s">
        <v>12</v>
      </c>
    </row>
    <row r="4" spans="1:5" x14ac:dyDescent="0.25">
      <c r="A4">
        <v>12</v>
      </c>
      <c r="B4" t="s">
        <v>6</v>
      </c>
      <c r="C4">
        <v>11</v>
      </c>
      <c r="D4" t="s">
        <v>6</v>
      </c>
      <c r="E4" t="s">
        <v>12</v>
      </c>
    </row>
    <row r="5" spans="1:5" x14ac:dyDescent="0.25">
      <c r="A5">
        <v>13</v>
      </c>
      <c r="B5" t="s">
        <v>7</v>
      </c>
      <c r="C5">
        <v>6</v>
      </c>
      <c r="D5" t="s">
        <v>14</v>
      </c>
      <c r="E5" t="s">
        <v>12</v>
      </c>
    </row>
    <row r="6" spans="1:5" x14ac:dyDescent="0.25">
      <c r="A6">
        <v>14</v>
      </c>
      <c r="B6" t="s">
        <v>15</v>
      </c>
      <c r="C6">
        <v>50</v>
      </c>
      <c r="D6" t="s">
        <v>16</v>
      </c>
      <c r="E6" t="s">
        <v>12</v>
      </c>
    </row>
    <row r="7" spans="1:5" x14ac:dyDescent="0.25">
      <c r="A7">
        <v>15</v>
      </c>
      <c r="B7" t="s">
        <v>8</v>
      </c>
      <c r="C7">
        <v>5</v>
      </c>
      <c r="D7" t="s">
        <v>8</v>
      </c>
      <c r="E7" t="s">
        <v>12</v>
      </c>
    </row>
    <row r="8" spans="1:5" x14ac:dyDescent="0.25">
      <c r="A8">
        <v>16</v>
      </c>
      <c r="B8" t="s">
        <v>9</v>
      </c>
      <c r="C8">
        <v>12</v>
      </c>
      <c r="D8" t="s">
        <v>17</v>
      </c>
      <c r="E8" t="s">
        <v>12</v>
      </c>
    </row>
    <row r="9" spans="1:5" x14ac:dyDescent="0.25">
      <c r="A9">
        <v>17</v>
      </c>
      <c r="B9" t="s">
        <v>10</v>
      </c>
      <c r="C9">
        <v>30</v>
      </c>
      <c r="D9" t="s">
        <v>18</v>
      </c>
      <c r="E9" t="s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workbookViewId="0">
      <selection activeCell="G11" sqref="G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C2:R25"/>
  <sheetViews>
    <sheetView tabSelected="1" workbookViewId="0">
      <selection activeCell="E8" sqref="E8:H11"/>
    </sheetView>
  </sheetViews>
  <sheetFormatPr defaultRowHeight="15" x14ac:dyDescent="0.25"/>
  <cols>
    <col min="1" max="4" width="9.140625" style="12"/>
    <col min="5" max="5" width="16.7109375" style="12" customWidth="1"/>
    <col min="6" max="7" width="9.140625" style="12"/>
    <col min="8" max="8" width="15" style="12" customWidth="1"/>
    <col min="9" max="13" width="9.140625" style="12"/>
    <col min="14" max="14" width="9.140625" style="12" customWidth="1"/>
    <col min="15" max="17" width="9.140625" style="12"/>
    <col min="18" max="18" width="14.140625" style="12" customWidth="1"/>
    <col min="19" max="16384" width="9.140625" style="12"/>
  </cols>
  <sheetData>
    <row r="2" spans="3:18" ht="15" customHeight="1" x14ac:dyDescent="0.25">
      <c r="C2" s="8" t="s">
        <v>30</v>
      </c>
      <c r="D2" s="9"/>
      <c r="E2" s="9"/>
      <c r="F2" s="9"/>
    </row>
    <row r="3" spans="3:18" x14ac:dyDescent="0.25">
      <c r="C3" s="9"/>
      <c r="D3" s="9"/>
      <c r="E3" s="9"/>
      <c r="F3" s="9"/>
    </row>
    <row r="4" spans="3:18" x14ac:dyDescent="0.25">
      <c r="C4" s="9"/>
      <c r="D4" s="9"/>
      <c r="E4" s="9"/>
      <c r="F4" s="9"/>
    </row>
    <row r="5" spans="3:18" x14ac:dyDescent="0.25">
      <c r="C5" s="9"/>
      <c r="D5" s="9"/>
      <c r="E5" s="9"/>
      <c r="F5" s="9"/>
    </row>
    <row r="8" spans="3:18" x14ac:dyDescent="0.25">
      <c r="E8" s="13" t="s">
        <v>31</v>
      </c>
      <c r="F8" s="10"/>
      <c r="G8" s="10"/>
      <c r="H8" s="10"/>
      <c r="J8" s="13" t="s">
        <v>32</v>
      </c>
      <c r="K8" s="10"/>
      <c r="L8" s="10"/>
      <c r="M8" s="10"/>
      <c r="O8" s="13" t="s">
        <v>33</v>
      </c>
      <c r="P8" s="10"/>
      <c r="Q8" s="10"/>
      <c r="R8" s="10"/>
    </row>
    <row r="9" spans="3:18" x14ac:dyDescent="0.25">
      <c r="E9" s="10"/>
      <c r="F9" s="10"/>
      <c r="G9" s="10"/>
      <c r="H9" s="10"/>
      <c r="J9" s="10"/>
      <c r="K9" s="10"/>
      <c r="L9" s="10"/>
      <c r="M9" s="10"/>
      <c r="O9" s="10"/>
      <c r="P9" s="10"/>
      <c r="Q9" s="10"/>
      <c r="R9" s="10"/>
    </row>
    <row r="10" spans="3:18" x14ac:dyDescent="0.25">
      <c r="E10" s="10"/>
      <c r="F10" s="10"/>
      <c r="G10" s="10"/>
      <c r="H10" s="10"/>
      <c r="J10" s="10"/>
      <c r="K10" s="10"/>
      <c r="L10" s="10"/>
      <c r="M10" s="10"/>
      <c r="O10" s="10"/>
      <c r="P10" s="10"/>
      <c r="Q10" s="10"/>
      <c r="R10" s="10"/>
    </row>
    <row r="11" spans="3:18" x14ac:dyDescent="0.25">
      <c r="E11" s="10"/>
      <c r="F11" s="10"/>
      <c r="G11" s="10"/>
      <c r="H11" s="10"/>
      <c r="J11" s="10"/>
      <c r="K11" s="10"/>
      <c r="L11" s="10"/>
      <c r="M11" s="10"/>
      <c r="O11" s="10"/>
      <c r="P11" s="10"/>
      <c r="Q11" s="10"/>
      <c r="R11" s="10"/>
    </row>
    <row r="12" spans="3:18" x14ac:dyDescent="0.25">
      <c r="E12" s="11">
        <f ca="1">NOW()</f>
        <v>45566.895439930558</v>
      </c>
      <c r="F12" s="11"/>
      <c r="G12" s="11"/>
      <c r="H12" s="11"/>
      <c r="I12" s="11"/>
      <c r="J12" s="11"/>
      <c r="K12" s="11"/>
      <c r="L12" s="11"/>
      <c r="M12" s="11"/>
      <c r="O12" s="9" t="s">
        <v>37</v>
      </c>
      <c r="P12" s="9"/>
      <c r="Q12" s="9"/>
      <c r="R12" s="9"/>
    </row>
    <row r="13" spans="3:18" x14ac:dyDescent="0.25">
      <c r="E13" s="11"/>
      <c r="F13" s="11"/>
      <c r="G13" s="11"/>
      <c r="H13" s="11"/>
      <c r="I13" s="11"/>
      <c r="J13" s="11"/>
      <c r="K13" s="11"/>
      <c r="L13" s="11"/>
      <c r="M13" s="11"/>
      <c r="O13" s="9"/>
      <c r="P13" s="9"/>
      <c r="Q13" s="9"/>
      <c r="R13" s="9"/>
    </row>
    <row r="14" spans="3:18" x14ac:dyDescent="0.25">
      <c r="E14" s="11"/>
      <c r="F14" s="11"/>
      <c r="G14" s="11"/>
      <c r="H14" s="11"/>
      <c r="I14" s="11"/>
      <c r="J14" s="11"/>
      <c r="K14" s="11"/>
      <c r="L14" s="11"/>
      <c r="M14" s="11"/>
      <c r="O14" s="9"/>
      <c r="P14" s="9"/>
      <c r="Q14" s="9"/>
      <c r="R14" s="9"/>
    </row>
    <row r="15" spans="3:18" x14ac:dyDescent="0.25">
      <c r="E15" s="11"/>
      <c r="F15" s="11"/>
      <c r="G15" s="11"/>
      <c r="H15" s="11"/>
      <c r="I15" s="11"/>
      <c r="J15" s="11"/>
      <c r="K15" s="11"/>
      <c r="L15" s="11"/>
      <c r="M15" s="11"/>
      <c r="O15" s="9"/>
      <c r="P15" s="9"/>
      <c r="Q15" s="9"/>
      <c r="R15" s="9"/>
    </row>
    <row r="16" spans="3:18" x14ac:dyDescent="0.25">
      <c r="E16" s="11"/>
      <c r="F16" s="11"/>
      <c r="G16" s="11"/>
      <c r="H16" s="11"/>
      <c r="I16" s="11"/>
      <c r="J16" s="11"/>
      <c r="K16" s="11"/>
      <c r="L16" s="11"/>
      <c r="M16" s="11"/>
      <c r="O16" s="9"/>
      <c r="P16" s="9"/>
      <c r="Q16" s="9"/>
      <c r="R16" s="9"/>
    </row>
    <row r="17" spans="5:18" x14ac:dyDescent="0.25">
      <c r="E17" s="11"/>
      <c r="F17" s="11"/>
      <c r="G17" s="11"/>
      <c r="H17" s="11"/>
      <c r="I17" s="11"/>
      <c r="J17" s="11"/>
      <c r="K17" s="11"/>
      <c r="L17" s="11"/>
      <c r="M17" s="11"/>
      <c r="O17" s="9"/>
      <c r="P17" s="9"/>
      <c r="Q17" s="9"/>
      <c r="R17" s="9"/>
    </row>
    <row r="18" spans="5:18" x14ac:dyDescent="0.25">
      <c r="E18" s="11"/>
      <c r="F18" s="11"/>
      <c r="G18" s="11"/>
      <c r="H18" s="11"/>
      <c r="I18" s="11"/>
      <c r="J18" s="11"/>
      <c r="K18" s="11"/>
      <c r="L18" s="11"/>
      <c r="M18" s="11"/>
      <c r="O18" s="9"/>
      <c r="P18" s="9"/>
      <c r="Q18" s="9"/>
      <c r="R18" s="9"/>
    </row>
    <row r="19" spans="5:18" x14ac:dyDescent="0.25">
      <c r="E19" s="11"/>
      <c r="F19" s="11"/>
      <c r="G19" s="11"/>
      <c r="H19" s="11"/>
      <c r="I19" s="11"/>
      <c r="J19" s="11"/>
      <c r="K19" s="11"/>
      <c r="L19" s="11"/>
      <c r="M19" s="11"/>
      <c r="O19" s="9"/>
      <c r="P19" s="9"/>
      <c r="Q19" s="9"/>
      <c r="R19" s="9"/>
    </row>
    <row r="20" spans="5:18" x14ac:dyDescent="0.25">
      <c r="E20" s="11"/>
      <c r="F20" s="11"/>
      <c r="G20" s="11"/>
      <c r="H20" s="11"/>
      <c r="I20" s="11"/>
      <c r="J20" s="11"/>
      <c r="K20" s="11"/>
      <c r="L20" s="11"/>
      <c r="M20" s="11"/>
      <c r="O20" s="9"/>
      <c r="P20" s="9"/>
      <c r="Q20" s="9"/>
      <c r="R20" s="9"/>
    </row>
    <row r="21" spans="5:18" x14ac:dyDescent="0.25">
      <c r="E21" s="11"/>
      <c r="F21" s="11"/>
      <c r="G21" s="11"/>
      <c r="H21" s="11"/>
      <c r="I21" s="11"/>
      <c r="J21" s="11"/>
      <c r="K21" s="11"/>
      <c r="L21" s="11"/>
      <c r="M21" s="11"/>
      <c r="O21" s="9"/>
      <c r="P21" s="9"/>
      <c r="Q21" s="9"/>
      <c r="R21" s="9"/>
    </row>
    <row r="22" spans="5:18" x14ac:dyDescent="0.25">
      <c r="E22" s="13" t="s">
        <v>35</v>
      </c>
      <c r="F22" s="10"/>
      <c r="G22" s="10"/>
      <c r="H22" s="10"/>
      <c r="J22" s="13" t="s">
        <v>34</v>
      </c>
      <c r="K22" s="10"/>
      <c r="L22" s="10"/>
      <c r="M22" s="10"/>
      <c r="O22" s="13" t="s">
        <v>36</v>
      </c>
      <c r="P22" s="10"/>
      <c r="Q22" s="10"/>
      <c r="R22" s="10"/>
    </row>
    <row r="23" spans="5:18" x14ac:dyDescent="0.25">
      <c r="E23" s="10"/>
      <c r="F23" s="10"/>
      <c r="G23" s="10"/>
      <c r="H23" s="10"/>
      <c r="J23" s="10"/>
      <c r="K23" s="10"/>
      <c r="L23" s="10"/>
      <c r="M23" s="10"/>
      <c r="O23" s="10"/>
      <c r="P23" s="10"/>
      <c r="Q23" s="10"/>
      <c r="R23" s="10"/>
    </row>
    <row r="24" spans="5:18" x14ac:dyDescent="0.25">
      <c r="E24" s="10"/>
      <c r="F24" s="10"/>
      <c r="G24" s="10"/>
      <c r="H24" s="10"/>
      <c r="J24" s="10"/>
      <c r="K24" s="10"/>
      <c r="L24" s="10"/>
      <c r="M24" s="10"/>
      <c r="O24" s="10"/>
      <c r="P24" s="10"/>
      <c r="Q24" s="10"/>
      <c r="R24" s="10"/>
    </row>
    <row r="25" spans="5:18" x14ac:dyDescent="0.25">
      <c r="E25" s="10"/>
      <c r="F25" s="10"/>
      <c r="G25" s="10"/>
      <c r="H25" s="10"/>
      <c r="J25" s="10"/>
      <c r="K25" s="10"/>
      <c r="L25" s="10"/>
      <c r="M25" s="10"/>
      <c r="O25" s="10"/>
      <c r="P25" s="10"/>
      <c r="Q25" s="10"/>
      <c r="R25" s="10"/>
    </row>
  </sheetData>
  <mergeCells count="9">
    <mergeCell ref="O22:R25"/>
    <mergeCell ref="O8:R11"/>
    <mergeCell ref="O12:R21"/>
    <mergeCell ref="E12:M21"/>
    <mergeCell ref="C2:F5"/>
    <mergeCell ref="E8:H11"/>
    <mergeCell ref="J8:M11"/>
    <mergeCell ref="E22:H25"/>
    <mergeCell ref="J22:M2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caixa</vt:lpstr>
      <vt:lpstr>registro do caixa </vt:lpstr>
      <vt:lpstr>banco de dados </vt:lpstr>
      <vt:lpstr>pagamento</vt:lpstr>
      <vt:lpstr>Planilha2</vt:lpstr>
      <vt:lpstr>adega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2024-09-26T23:16:03Z</dcterms:created>
  <dcterms:modified xsi:type="dcterms:W3CDTF">2024-10-02T00:29:47Z</dcterms:modified>
</cp:coreProperties>
</file>